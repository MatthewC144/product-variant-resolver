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39778da29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4234be7b0c4a51"/>
    <x:sheet xmlns:r="http://schemas.openxmlformats.org/officeDocument/2006/relationships" name="Releases" sheetId="2" r:id="Rf9af3b2d25b7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@"/>
    <x:numFmt numFmtId="203" formatCode="yyyy-mm-dd hh:mm:ss"/>
  </x:numFmts>
  <x:fonts count="7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4B5563"/>
      <x:name val="Arial"/>
    </x:font>
    <x:font>
      <x:sz val="10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8">
    <x:border/>
    <x:border>
      <x:bottom style="thin">
        <x:color rgb="FF9EADBA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bottom style="thin">
        <x:color rgb="FFD8DEE6"/>
      </x:bottom>
    </x:border>
    <x:border>
      <x:right style="thin">
        <x:color rgb="FFFFFFFF"/>
      </x:right>
      <x:bottom style="thin">
        <x:color rgb="FFD8DEE6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0"/>
    </x:xf>
    <x:xf numFmtId="200" fontId="3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/>
    <x:xf numFmtId="200" fontId="3" fillId="0" borderId="0" xfId="0" applyNumberFormat="1" applyFont="1" applyFill="1" applyBorder="1"/>
    <x:xf numFmtId="203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7" xfId="0" applyNumberFormat="1" applyFont="1" applyFill="1" applyBorder="1" applyAlignment="1">
      <x:alignment vertical="center" wrapText="0"/>
    </x:xf>
    <x:xf numFmtId="203" fontId="3" fillId="0" borderId="0" xfId="0" applyNumberFormat="1" applyFont="1" applyFill="1" applyBorder="1" applyAlignment="1">
      <x:alignment vertical="center" wrapText="0"/>
    </x:xf>
    <x:xf numFmtId="203" fontId="3" fillId="0" borderId="7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24730d642e462d" /><Relationship Type="http://schemas.openxmlformats.org/officeDocument/2006/relationships/theme" Target="/xl/theme/theme1.xml" Id="R73a73765d0e442ea" /><Relationship Type="http://schemas.openxmlformats.org/officeDocument/2006/relationships/sharedStrings" Target="/xl/sharedStrings.xml" Id="R2373b0e9fe744765" /><Relationship Type="http://schemas.openxmlformats.org/officeDocument/2006/relationships/worksheet" Target="/xl/worksheets/sheet1.xml" Id="R354234be7b0c4a51" /><Relationship Type="http://schemas.openxmlformats.org/officeDocument/2006/relationships/worksheet" Target="/xl/worksheets/sheet2.xml" Id="Rf9af3b2d25b74d17" /></Relationships>
</file>

<file path=xl/tables/table1.xml><?xml version="1.0" encoding="utf-8"?>
<x:table xmlns:x="http://schemas.openxmlformats.org/spreadsheetml/2006/main" id="1" name="CollectedReleases" displayName="CollectedReleases" ref="A6:S9" headerRowCount="1" totalsRowCount="0" totalsRowShown="0">
  <x:tableColumns count="19">
    <x:tableColumn id="1" name="Source record ID"/>
    <x:tableColumn id="2" name="Release year"/>
    <x:tableColumn id="3" name="Brand"/>
    <x:tableColumn id="4" name="Toy number"/>
    <x:tableColumn id="5" name="Collector number"/>
    <x:tableColumn id="6" name="Source model label"/>
    <x:tableColumn id="7" name="Casting name"/>
    <x:tableColumn id="8" name="Variant note"/>
    <x:tableColumn id="9" name="Series"/>
    <x:tableColumn id="10" name="Series position"/>
    <x:tableColumn id="11" name="Color"/>
    <x:tableColumn id="12" name="Source page title"/>
    <x:tableColumn id="13" name="Source page URL"/>
    <x:tableColumn id="14" name="Source table"/>
    <x:tableColumn id="15" name="Source row"/>
    <x:tableColumn id="16" name="Parse status"/>
    <x:tableColumn id="17" name="Parse error"/>
    <x:tableColumn id="18" name="Collected at (UTC)"/>
    <x:tableColumn id="19" name="Raw fields (JSO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2d3e80d99b423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</x:cols>
  <x:sheetData>
    <x:row r="2">
      <x:c r="A2" s="2" t="str">
        <x:v>Catalog collection summary</x:v>
      </x:c>
      <x:c r="B2" s="1"/>
      <x:c r="C2" s="1"/>
      <x:c r="D2" s="1"/>
      <x:c r="E2" s="1"/>
      <x:c r="F2" s="1"/>
    </x:row>
    <x:row r="4">
      <x:c r="A4" s="9" t="str">
        <x:v>Metric</x:v>
      </x:c>
      <x:c r="B4" s="15" t="str">
        <x:v>Value</x:v>
      </x:c>
    </x:row>
    <x:row r="5">
      <x:c r="A5" s="13" t="str">
        <x:v>Source page</x:v>
      </x:c>
      <x:c r="B5" s="19" t="str">
        <x:v>https://catalog.example.test/wiki/List_of_2025</x:v>
      </x:c>
    </x:row>
    <x:row r="6">
      <x:c r="A6" s="13" t="str">
        <x:v>Allowed host</x:v>
      </x:c>
      <x:c r="B6" s="19" t="str">
        <x:v>catalog.example.test</x:v>
      </x:c>
    </x:row>
    <x:row r="7">
      <x:c r="A7" s="13" t="str">
        <x:v>Release year</x:v>
      </x:c>
      <x:c r="B7" s="20" t="n">
        <x:v>2025</x:v>
      </x:c>
    </x:row>
    <x:row r="8">
      <x:c r="A8" s="13" t="str">
        <x:v>Exported records</x:v>
      </x:c>
      <x:c r="B8" s="21" t="n">
        <x:f>COUNTA(Releases!A7:A9)</x:f>
        <x:v>3</x:v>
      </x:c>
    </x:row>
    <x:row r="9">
      <x:c r="A9" s="13" t="str">
        <x:v>Rows with parse errors</x:v>
      </x:c>
      <x:c r="B9" s="21" t="n">
        <x:f>COUNTIF(Releases!P7:P9,"error")</x:f>
        <x:v>0</x:v>
      </x:c>
    </x:row>
    <x:row r="10">
      <x:c r="A10" s="13" t="str">
        <x:v>Candidate tables</x:v>
      </x:c>
      <x:c r="B10" s="21" t="n">
        <x:v>2</x:v>
      </x:c>
    </x:row>
    <x:row r="11">
      <x:c r="A11" s="13" t="str">
        <x:v>Eligible catalog tables</x:v>
      </x:c>
      <x:c r="B11" s="21" t="n">
        <x:v>1</x:v>
      </x:c>
    </x:row>
    <x:row r="12">
      <x:c r="A12" s="13" t="str">
        <x:v>Rows inspected</x:v>
      </x:c>
      <x:c r="B12" s="21" t="n">
        <x:v>4</x:v>
      </x:c>
    </x:row>
    <x:row r="13">
      <x:c r="A13" s="17" t="str">
        <x:v>Rows filtered by year</x:v>
      </x:c>
      <x:c r="B13" s="22" t="n">
        <x:v>1</x:v>
      </x:c>
    </x:row>
    <x:row r="15">
      <x:c r="A15" s="23" t="str">
        <x:v>Use</x:v>
      </x:c>
      <x:c r="B15" s="24" t="str">
        <x:v>Review-only collection output. It is not canonical catalog data.</x:v>
      </x:c>
    </x:row>
    <x:row r="16">
      <x:c r="A16" s="23" t="str">
        <x:v>Safety</x:v>
      </x:c>
      <x:c r="B16" s="24" t="str">
        <x:v>The collector handles one allowlisted host and refuses Fandom/Wikia.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7" hidden="0" customWidth="1"/>
    <x:col min="2" max="2" width="13" hidden="0" customWidth="1"/>
    <x:col min="3" max="3" width="15" hidden="0" customWidth="1"/>
    <x:col min="4" max="4" width="14" hidden="0" customWidth="1"/>
    <x:col min="5" max="5" width="16" hidden="0" customWidth="1"/>
    <x:col min="6" max="6" width="30" hidden="0" customWidth="1"/>
    <x:col min="7" max="7" width="28" hidden="0" customWidth="1"/>
    <x:col min="8" max="8" width="22" hidden="0" customWidth="1"/>
    <x:col min="9" max="9" width="24" hidden="0" customWidth="1"/>
    <x:col min="10" max="10" width="16" hidden="0" customWidth="1"/>
    <x:col min="11" max="11" width="16" hidden="0" customWidth="1"/>
    <x:col min="12" max="12" width="28" hidden="0" customWidth="1"/>
    <x:col min="13" max="13" width="56" hidden="0" customWidth="1"/>
    <x:col min="14" max="14" width="13" hidden="0" customWidth="1"/>
    <x:col min="15" max="15" width="12" hidden="0" customWidth="1"/>
    <x:col min="16" max="16" width="14" hidden="0" customWidth="1"/>
    <x:col min="17" max="17" width="32" hidden="0" customWidth="1"/>
    <x:col min="18" max="18" width="23" hidden="0" customWidth="1"/>
    <x:col min="19" max="19" width="56" hidden="0" customWidth="1"/>
  </x:cols>
  <x:sheetData>
    <x:row r="2">
      <x:c r="A2" s="2" t="str">
        <x:v>Collected release rows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23" t="str">
        <x:v>Source URL</x:v>
      </x:c>
      <x:c r="B3" s="25" t="str">
        <x:v>https://catalog.example.test/wiki/List_of_2025</x:v>
      </x:c>
    </x:row>
    <x:row r="4">
      <x:c r="A4" s="23" t="str">
        <x:v>Collected at (UTC)</x:v>
      </x:c>
      <x:c r="B4" s="25" t="n">
        <x:v>46281.5</x:v>
      </x:c>
    </x:row>
    <x:row r="6">
      <x:c r="A6" s="36" t="str">
        <x:v>Source record ID</x:v>
      </x:c>
      <x:c r="B6" s="37" t="str">
        <x:v>Release year</x:v>
      </x:c>
      <x:c r="C6" s="37" t="str">
        <x:v>Brand</x:v>
      </x:c>
      <x:c r="D6" s="37" t="str">
        <x:v>Toy number</x:v>
      </x:c>
      <x:c r="E6" s="37" t="str">
        <x:v>Collector number</x:v>
      </x:c>
      <x:c r="F6" s="37" t="str">
        <x:v>Source model label</x:v>
      </x:c>
      <x:c r="G6" s="37" t="str">
        <x:v>Casting name</x:v>
      </x:c>
      <x:c r="H6" s="37" t="str">
        <x:v>Variant note</x:v>
      </x:c>
      <x:c r="I6" s="37" t="str">
        <x:v>Series</x:v>
      </x:c>
      <x:c r="J6" s="37" t="str">
        <x:v>Series position</x:v>
      </x:c>
      <x:c r="K6" s="37" t="str">
        <x:v>Color</x:v>
      </x:c>
      <x:c r="L6" s="37" t="str">
        <x:v>Source page title</x:v>
      </x:c>
      <x:c r="M6" s="37" t="str">
        <x:v>Source page URL</x:v>
      </x:c>
      <x:c r="N6" s="37" t="str">
        <x:v>Source table</x:v>
      </x:c>
      <x:c r="O6" s="37" t="str">
        <x:v>Source row</x:v>
      </x:c>
      <x:c r="P6" s="37" t="str">
        <x:v>Parse status</x:v>
      </x:c>
      <x:c r="Q6" s="37" t="str">
        <x:v>Parse error</x:v>
      </x:c>
      <x:c r="R6" s="37" t="str">
        <x:v>Collected at (UTC)</x:v>
      </x:c>
      <x:c r="S6" s="38" t="str">
        <x:v>Raw fields (JSON)</x:v>
      </x:c>
    </x:row>
    <x:row r="7">
      <x:c r="A7" s="42" t="str">
        <x:v>selenium-row-example0001</x:v>
      </x:c>
      <x:c r="B7" s="43" t="n">
        <x:v>2025</x:v>
      </x:c>
      <x:c r="C7" s="14" t="str">
        <x:v>Example</x:v>
      </x:c>
      <x:c r="D7" s="42" t="str">
        <x:v>AAA01</x:v>
      </x:c>
      <x:c r="E7" s="42" t="str">
        <x:v>001</x:v>
      </x:c>
      <x:c r="F7" s="49" t="str">
        <x:v>Example Roadster</x:v>
      </x:c>
      <x:c r="G7" s="49" t="str">
        <x:v>Example Roadster</x:v>
      </x:c>
      <x:c r="H7" s="49"/>
      <x:c r="I7" s="49" t="str">
        <x:v>City Cars</x:v>
      </x:c>
      <x:c r="J7" s="49" t="str">
        <x:v>1/5</x:v>
      </x:c>
      <x:c r="K7" s="49" t="str">
        <x:v>Red</x:v>
      </x:c>
      <x:c r="L7" s="49" t="str">
        <x:v>Example 2025 Vehicle Catalog</x:v>
      </x:c>
      <x:c r="M7" s="49" t="str">
        <x:v>https://catalog.example.test/wiki/List_of_2025</x:v>
      </x:c>
      <x:c r="N7" s="43" t="n">
        <x:v>1</x:v>
      </x:c>
      <x:c r="O7" s="43" t="n">
        <x:v>1</x:v>
      </x:c>
      <x:c r="P7" s="14" t="str">
        <x:v>parsed</x:v>
      </x:c>
      <x:c r="Q7" s="49"/>
      <x:c r="R7" s="51" t="n">
        <x:v>46281.5</x:v>
      </x:c>
      <x:c r="S7" s="49" t="str">
        <x:v>{"Col.#": "001", "Color": "Red", "Model Name": "Example Roadster", "Series": "City Cars", "Series #": "1/5", "Toy #": "AAA01", "Year": "2025"}</x:v>
      </x:c>
    </x:row>
    <x:row r="8">
      <x:c r="A8" s="42" t="str">
        <x:v>selenium-row-example0002</x:v>
      </x:c>
      <x:c r="B8" s="43" t="n">
        <x:v>2025</x:v>
      </x:c>
      <x:c r="C8" s="14" t="str">
        <x:v>Example</x:v>
      </x:c>
      <x:c r="D8" s="42" t="str">
        <x:v>AAA02</x:v>
      </x:c>
      <x:c r="E8" s="42" t="str">
        <x:v>002</x:v>
      </x:c>
      <x:c r="F8" s="49" t="str">
        <x:v>Example Roadster (2nd Color - Zamac)</x:v>
      </x:c>
      <x:c r="G8" s="49" t="str">
        <x:v>Example Roadster</x:v>
      </x:c>
      <x:c r="H8" s="49" t="str">
        <x:v>2nd Color - Zamac</x:v>
      </x:c>
      <x:c r="I8" s="49" t="str">
        <x:v>City Cars</x:v>
      </x:c>
      <x:c r="J8" s="49" t="str">
        <x:v>1/5</x:v>
      </x:c>
      <x:c r="K8" s="49" t="str">
        <x:v>Zamac</x:v>
      </x:c>
      <x:c r="L8" s="49" t="str">
        <x:v>Example 2025 Vehicle Catalog</x:v>
      </x:c>
      <x:c r="M8" s="49" t="str">
        <x:v>https://catalog.example.test/wiki/List_of_2025</x:v>
      </x:c>
      <x:c r="N8" s="43" t="n">
        <x:v>1</x:v>
      </x:c>
      <x:c r="O8" s="43" t="n">
        <x:v>2</x:v>
      </x:c>
      <x:c r="P8" s="14" t="str">
        <x:v>parsed</x:v>
      </x:c>
      <x:c r="Q8" s="49"/>
      <x:c r="R8" s="51" t="n">
        <x:v>46281.5</x:v>
      </x:c>
      <x:c r="S8" s="49" t="str">
        <x:v>{"Col.#": "002", "Color": "Zamac", "Model Name": "Example Roadster (2nd Color - Zamac)", "Series": "City Cars", "Series #": "1/5", "Toy #": "AAA02", "Year": "2025"}</x:v>
      </x:c>
    </x:row>
    <x:row r="9">
      <x:c r="A9" s="45" t="str">
        <x:v>selenium-row-example0003</x:v>
      </x:c>
      <x:c r="B9" s="46" t="n">
        <x:v>2025</x:v>
      </x:c>
      <x:c r="C9" s="47" t="str">
        <x:v>Example</x:v>
      </x:c>
      <x:c r="D9" s="45" t="str">
        <x:v>BBB01</x:v>
      </x:c>
      <x:c r="E9" s="45" t="str">
        <x:v>003</x:v>
      </x:c>
      <x:c r="F9" s="50" t="str">
        <x:v>Example Coupe</x:v>
      </x:c>
      <x:c r="G9" s="50" t="str">
        <x:v>Example Coupe</x:v>
      </x:c>
      <x:c r="H9" s="50"/>
      <x:c r="I9" s="50" t="str">
        <x:v>Track Stars</x:v>
      </x:c>
      <x:c r="J9" s="50" t="str">
        <x:v>2/5</x:v>
      </x:c>
      <x:c r="K9" s="50" t="str">
        <x:v>Blue</x:v>
      </x:c>
      <x:c r="L9" s="50" t="str">
        <x:v>Example 2025 Vehicle Catalog</x:v>
      </x:c>
      <x:c r="M9" s="50" t="str">
        <x:v>https://catalog.example.test/wiki/List_of_2025</x:v>
      </x:c>
      <x:c r="N9" s="46" t="n">
        <x:v>1</x:v>
      </x:c>
      <x:c r="O9" s="46" t="n">
        <x:v>3</x:v>
      </x:c>
      <x:c r="P9" s="47" t="str">
        <x:v>parsed</x:v>
      </x:c>
      <x:c r="Q9" s="50"/>
      <x:c r="R9" s="52" t="n">
        <x:v>46281.5</x:v>
      </x:c>
      <x:c r="S9" s="50" t="str">
        <x:v>{"Col.#": "003", "Color": "Blue", "Model Name": "Example Coupe", "Series": "Track Stars", "Series #": "2/5", "Toy #": "BBB01", "Year": "2025"}</x:v>
      </x:c>
    </x:row>
  </x:sheetData>
  <x:conditionalFormatting sqref="P7:P9">
    <x:cfRule type="containsText" dxfId="0" priority="1" operator="containsText" text="error"/>
  </x:conditionalFormatting>
  <x:pageMargins left="0.7" right="0.7" top="0.75" bottom="0.75" header="0.3" footer="0.3"/>
  <x:tableParts count="1">
    <x:tablePart xmlns:r="http://schemas.openxmlformats.org/officeDocument/2006/relationships" r:id="Rba2d3e80d99b4237"/>
  </x:tableParts>
</x:worksheet>
</file>